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30E6C7A7-BD3C-4288-8BD7-351BE10CEE91}" xr6:coauthVersionLast="47" xr6:coauthVersionMax="47" xr10:uidLastSave="{00000000-0000-0000-0000-000000000000}"/>
  <bookViews>
    <workbookView xWindow="-120" yWindow="-120" windowWidth="29040" windowHeight="15720" xr2:uid="{D27421B7-A7AF-4096-8292-A5AFF20B5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F2" i="1"/>
  <c r="F3" i="1"/>
  <c r="F4" i="1"/>
  <c r="F5" i="1"/>
  <c r="F6" i="1"/>
  <c r="F7" i="1"/>
  <c r="F8" i="1"/>
  <c r="F9" i="1"/>
  <c r="E2" i="1"/>
  <c r="E3" i="1"/>
  <c r="E4" i="1"/>
  <c r="E5" i="1"/>
  <c r="E6" i="1"/>
  <c r="E7" i="1"/>
  <c r="E8" i="1"/>
  <c r="E9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<sst xmlns="http://schemas.openxmlformats.org/spreadsheetml/2006/main" count="15" uniqueCount="15">
  <si>
    <t>Marks</t>
  </si>
  <si>
    <t>study hours</t>
  </si>
  <si>
    <t>Student</t>
  </si>
  <si>
    <t>Anudeep</t>
  </si>
  <si>
    <t>Rohith</t>
  </si>
  <si>
    <t>Charan</t>
  </si>
  <si>
    <t>Ravi</t>
  </si>
  <si>
    <t>Bhanu</t>
  </si>
  <si>
    <t>Sasi</t>
  </si>
  <si>
    <t>Sasidhar</t>
  </si>
  <si>
    <t>Bharath</t>
  </si>
  <si>
    <t>Mean</t>
  </si>
  <si>
    <t>Median</t>
  </si>
  <si>
    <t>Mode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</si>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</sst>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MARKS PLOT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5145116046754665"/>
          <c:y val="5.3409624786872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003862031238154E-2"/>
          <c:y val="0.24438718313193081"/>
          <c:w val="0.91747695491175152"/>
          <c:h val="0.686186913260125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80</c:v>
                </c:pt>
                <c:pt idx="1">
                  <c:v>85</c:v>
                </c:pt>
                <c:pt idx="2">
                  <c:v>84</c:v>
                </c:pt>
                <c:pt idx="3">
                  <c:v>80</c:v>
                </c:pt>
                <c:pt idx="4">
                  <c:v>83</c:v>
                </c:pt>
                <c:pt idx="5">
                  <c:v>84</c:v>
                </c:pt>
                <c:pt idx="6">
                  <c:v>81</c:v>
                </c:pt>
                <c:pt idx="7">
                  <c:v>78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4-45A1-B5D7-E9D519CBB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598016"/>
        <c:axId val="1237604736"/>
      </c:scatterChart>
      <c:valAx>
        <c:axId val="123759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04736"/>
        <c:crosses val="autoZero"/>
        <c:crossBetween val="midCat"/>
      </c:valAx>
      <c:valAx>
        <c:axId val="123760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9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5"/>
          <c:y val="0.24782407407407409"/>
          <c:w val="0.84444444444444444"/>
          <c:h val="0.5953466754155730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explosion val="1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5B0C-4682-B8D7-2B34128F65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Sheet1!$B$2:$B$10</c:f>
              <c:numCache>
                <c:formatCode>General</c:formatCode>
                <c:ptCount val="9"/>
                <c:pt idx="0">
                  <c:v>80</c:v>
                </c:pt>
                <c:pt idx="1">
                  <c:v>85</c:v>
                </c:pt>
                <c:pt idx="2">
                  <c:v>84</c:v>
                </c:pt>
                <c:pt idx="3">
                  <c:v>80</c:v>
                </c:pt>
                <c:pt idx="4">
                  <c:v>83</c:v>
                </c:pt>
                <c:pt idx="5">
                  <c:v>84</c:v>
                </c:pt>
                <c:pt idx="6">
                  <c:v>81</c:v>
                </c:pt>
                <c:pt idx="7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C-4682-B8D7-2B34128F65E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Sheet1!$C$2:$C$10</c:f>
              <c:numCache>
                <c:formatCode>General</c:formatCode>
                <c:ptCount val="9"/>
                <c:pt idx="0">
                  <c:v>6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C-4682-B8D7-2B34128F65EE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180975</xdr:rowOff>
    </xdr:from>
    <xdr:to>
      <xdr:col>6</xdr:col>
      <xdr:colOff>495299</xdr:colOff>
      <xdr:row>27</xdr:row>
      <xdr:rowOff>80963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D93E2F-6C84-6EAF-33BA-7B5C67586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466724</xdr:colOff>
      <xdr:row>9</xdr:row>
      <xdr:rowOff>161924</xdr:rowOff>
    </xdr:from>
    <xdr:to>
      <xdr:col>14</xdr:col>
      <xdr:colOff>209549</xdr:colOff>
      <xdr:row>27</xdr:row>
      <xdr:rowOff>57149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D553B6-16B5-FE0A-F67F-8A23C0E28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9B4F5-1534-4BD5-B1F8-FEEEE8B048F4}" name="Table1" displayName="Table1" ref="A1:G10" totalsRowShown="0" headerRowDxfId="4">
  <autoFilter ref="A1:G10" xr:uid="{C6D9B4F5-1534-4BD5-B1F8-FEEEE8B048F4}"/>
  <tableColumns count="7">
    <tableColumn id="1" xr3:uid="{778B749A-4760-44F6-99C8-21B8A0F7B098}" name="Student"/>
    <tableColumn id="2" xr3:uid="{B16FA44D-63B3-4849-865F-4AC9AD583F8F}" name="Marks"/>
    <tableColumn id="3" xr3:uid="{2BB691E4-CFFB-45D7-9D32-91F81DCBF2B4}" name="study hours"/>
    <tableColumn id="4" xr3:uid="{4C81CD31-2554-4EDB-894B-EF2E023F47BE}" name="Mean" dataDxfId="3">
      <calculatedColumnFormula>AVERAGE(Table1[Marks])</calculatedColumnFormula>
    </tableColumn>
    <tableColumn id="5" xr3:uid="{7BD5E4F5-EA30-42CA-A625-9218E14B9AA5}" name="Standard Deviation" dataDxfId="2">
      <calculatedColumnFormula>_xlfn.STDEV.S(Table1[Marks])</calculatedColumnFormula>
    </tableColumn>
    <tableColumn id="7" xr3:uid="{3865BCD3-DA2A-4751-B2FC-2DDE4776A2BB}" name="Mode" dataDxfId="1">
      <calculatedColumnFormula>MODE(Table1[Marks])</calculatedColumnFormula>
    </tableColumn>
    <tableColumn id="8" xr3:uid="{4D4C29DD-7619-44AD-BAAF-8C53EB4C9949}" name="Median" dataDxfId="0">
      <calculatedColumnFormula>MEDIAN(Table1[Marks])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0D73-66D3-43FE-AF2D-E1E8706E02BD}">
  <dimension ref="A1:G10"/>
  <sheetViews>
    <sheetView tabSelected="1" workbookViewId="0">
      <selection activeCell="L31" sqref="L31"/>
    </sheetView>
  </sheetViews>
  <sheetFormatPr defaultRowHeight="15" x14ac:dyDescent="0.25"/>
  <cols>
    <col min="1" max="1" width="9.85546875" customWidth="1"/>
    <col min="3" max="3" width="13.42578125" customWidth="1"/>
    <col min="5" max="5" width="20" customWidth="1"/>
    <col min="6" max="6" width="11.7109375" customWidth="1"/>
  </cols>
  <sheetData>
    <row r="1" spans="1:7" x14ac:dyDescent="0.25">
      <c r="A1" s="1" t="s">
        <v>2</v>
      </c>
      <c r="B1" s="1" t="s">
        <v>0</v>
      </c>
      <c r="C1" s="1" t="s">
        <v>1</v>
      </c>
      <c r="D1" s="1" t="s">
        <v>11</v>
      </c>
      <c r="E1" s="1" t="s">
        <v>14</v>
      </c>
      <c r="F1" s="1" t="s">
        <v>13</v>
      </c>
      <c r="G1" s="1" t="s">
        <v>12</v>
      </c>
    </row>
    <row r="2" spans="1:7" x14ac:dyDescent="0.25">
      <c r="A2" t="s">
        <v>3</v>
      </c>
      <c r="B2">
        <v>80</v>
      </c>
      <c r="C2">
        <v>6</v>
      </c>
      <c r="D2">
        <f>AVERAGE(Table1[Marks])</f>
        <v>81.875</v>
      </c>
      <c r="E2">
        <f>_xlfn.STDEV.S(Table1[Marks])</f>
        <v>2.4748737341529163</v>
      </c>
      <c r="F2">
        <f>MODE(Table1[Marks])</f>
        <v>80</v>
      </c>
      <c r="G2" s="2">
        <f>MEDIAN(Table1[Marks])</f>
        <v>82</v>
      </c>
    </row>
    <row r="3" spans="1:7" x14ac:dyDescent="0.25">
      <c r="A3" t="s">
        <v>4</v>
      </c>
      <c r="B3">
        <v>85</v>
      </c>
      <c r="C3">
        <v>6</v>
      </c>
      <c r="D3">
        <f>AVERAGE(Table1[Marks])</f>
        <v>81.875</v>
      </c>
      <c r="E3">
        <f>_xlfn.STDEV.S(Table1[Marks])</f>
        <v>2.4748737341529163</v>
      </c>
      <c r="F3">
        <f>MODE(Table1[Marks])</f>
        <v>80</v>
      </c>
      <c r="G3" s="2">
        <f>MEDIAN(Table1[Marks])</f>
        <v>82</v>
      </c>
    </row>
    <row r="4" spans="1:7" x14ac:dyDescent="0.25">
      <c r="A4" t="s">
        <v>5</v>
      </c>
      <c r="B4">
        <v>84</v>
      </c>
      <c r="C4">
        <v>6.5</v>
      </c>
      <c r="D4">
        <f>AVERAGE(Table1[Marks])</f>
        <v>81.875</v>
      </c>
      <c r="E4">
        <f>_xlfn.STDEV.S(Table1[Marks])</f>
        <v>2.4748737341529163</v>
      </c>
      <c r="F4">
        <f>MODE(Table1[Marks])</f>
        <v>80</v>
      </c>
      <c r="G4" s="2">
        <f>MEDIAN(Table1[Marks])</f>
        <v>82</v>
      </c>
    </row>
    <row r="5" spans="1:7" x14ac:dyDescent="0.25">
      <c r="A5" t="s">
        <v>6</v>
      </c>
      <c r="B5">
        <v>80</v>
      </c>
      <c r="C5">
        <v>7</v>
      </c>
      <c r="D5">
        <f>AVERAGE(Table1[Marks])</f>
        <v>81.875</v>
      </c>
      <c r="E5">
        <f>_xlfn.STDEV.S(Table1[Marks])</f>
        <v>2.4748737341529163</v>
      </c>
      <c r="F5">
        <f>MODE(Table1[Marks])</f>
        <v>80</v>
      </c>
      <c r="G5" s="2">
        <f>MEDIAN(Table1[Marks])</f>
        <v>82</v>
      </c>
    </row>
    <row r="6" spans="1:7" x14ac:dyDescent="0.25">
      <c r="A6" t="s">
        <v>7</v>
      </c>
      <c r="B6">
        <v>83</v>
      </c>
      <c r="C6">
        <v>8</v>
      </c>
      <c r="D6">
        <f>AVERAGE(Table1[Marks])</f>
        <v>81.875</v>
      </c>
      <c r="E6">
        <f>_xlfn.STDEV.S(Table1[Marks])</f>
        <v>2.4748737341529163</v>
      </c>
      <c r="F6">
        <f>MODE(Table1[Marks])</f>
        <v>80</v>
      </c>
      <c r="G6" s="2">
        <f>MEDIAN(Table1[Marks])</f>
        <v>82</v>
      </c>
    </row>
    <row r="7" spans="1:7" x14ac:dyDescent="0.25">
      <c r="A7" t="s">
        <v>8</v>
      </c>
      <c r="B7">
        <v>84</v>
      </c>
      <c r="C7">
        <v>7</v>
      </c>
      <c r="D7">
        <f>AVERAGE(Table1[Marks])</f>
        <v>81.875</v>
      </c>
      <c r="E7">
        <f>_xlfn.STDEV.S(Table1[Marks])</f>
        <v>2.4748737341529163</v>
      </c>
      <c r="F7">
        <f>MODE(Table1[Marks])</f>
        <v>80</v>
      </c>
      <c r="G7" s="2">
        <f>MEDIAN(Table1[Marks])</f>
        <v>82</v>
      </c>
    </row>
    <row r="8" spans="1:7" x14ac:dyDescent="0.25">
      <c r="A8" t="s">
        <v>9</v>
      </c>
      <c r="B8">
        <v>81</v>
      </c>
      <c r="C8">
        <v>8</v>
      </c>
      <c r="D8">
        <f>AVERAGE(Table1[Marks])</f>
        <v>81.875</v>
      </c>
      <c r="E8">
        <f>_xlfn.STDEV.S(Table1[Marks])</f>
        <v>2.4748737341529163</v>
      </c>
      <c r="F8">
        <f>MODE(Table1[Marks])</f>
        <v>80</v>
      </c>
      <c r="G8" s="2">
        <f>MEDIAN(Table1[Marks])</f>
        <v>82</v>
      </c>
    </row>
    <row r="9" spans="1:7" x14ac:dyDescent="0.25">
      <c r="A9" t="s">
        <v>10</v>
      </c>
      <c r="B9">
        <v>78</v>
      </c>
      <c r="C9">
        <v>5</v>
      </c>
      <c r="D9">
        <f>AVERAGE(Table1[Marks])</f>
        <v>81.875</v>
      </c>
      <c r="E9">
        <f>_xlfn.STDEV.S(Table1[Marks])</f>
        <v>2.4748737341529163</v>
      </c>
      <c r="F9">
        <f>MODE(Table1[Marks])</f>
        <v>80</v>
      </c>
      <c r="G9" s="2">
        <f>MEDIAN(Table1[Marks])</f>
        <v>82</v>
      </c>
    </row>
    <row r="10" spans="1:7" x14ac:dyDescent="0.25">
      <c r="G10" s="2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2026-05-26T08:27:16Z</dcterms:created>
  <dcterms:modified xsi:type="dcterms:W3CDTF">2026-05-26T09:40:25Z</dcterms:modified>
</cp:coreProperties>
</file>