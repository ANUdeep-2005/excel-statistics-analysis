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D2322F05-9B02-46ED-A2B9-83D9FF1CBEC3}" xr6:coauthVersionLast="47" xr6:coauthVersionMax="47" xr10:uidLastSave="{00000000-0000-0000-0000-000000000000}"/>
  <bookViews>
    <workbookView xWindow="-120" yWindow="-120" windowWidth="29040" windowHeight="15720" activeTab="2" xr2:uid="{D27421B7-A7AF-4096-8292-A5AFF20B535C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  <c r="I2" i="1"/>
  <c r="J9" i="1"/>
  <c r="J8" i="1"/>
  <c r="J7" i="1"/>
  <c r="J6" i="1"/>
  <c r="J5" i="1"/>
  <c r="J4" i="1"/>
  <c r="J3" i="1"/>
  <c r="J2" i="1"/>
  <c r="H9" i="1"/>
  <c r="H8" i="1"/>
  <c r="H7" i="1"/>
  <c r="H6" i="1"/>
  <c r="H5" i="1"/>
  <c r="H4" i="1"/>
  <c r="H3" i="1"/>
  <c r="H2" i="1"/>
  <c r="H10" i="1"/>
  <c r="I10" i="1"/>
  <c r="G2" i="1"/>
  <c r="G3" i="1"/>
  <c r="G4" i="1"/>
  <c r="G5" i="1"/>
  <c r="G6" i="1"/>
  <c r="G7" i="1"/>
  <c r="G8" i="1"/>
  <c r="G9" i="1"/>
  <c r="F2" i="1"/>
  <c r="F3" i="1"/>
  <c r="F4" i="1"/>
  <c r="F5" i="1"/>
  <c r="F6" i="1"/>
  <c r="F7" i="1"/>
  <c r="F8" i="1"/>
  <c r="F9" i="1"/>
  <c r="E2" i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<sst xmlns="http://schemas.openxmlformats.org/spreadsheetml/2006/main" count="65" uniqueCount="58">
  <si>
    <t>Marks</t>
  </si>
  <si>
    <t>study hours</t>
  </si>
  <si>
    <t>Student</t>
  </si>
  <si>
    <t>Anudeep</t>
  </si>
  <si>
    <t>Rohith</t>
  </si>
  <si>
    <t>Charan</t>
  </si>
  <si>
    <t>Ravi</t>
  </si>
  <si>
    <t>Bhanu</t>
  </si>
  <si>
    <t>Sasi</t>
  </si>
  <si>
    <t>Sasidhar</t>
  </si>
  <si>
    <t>Bharath</t>
  </si>
  <si>
    <t>Mean</t>
  </si>
  <si>
    <t>Median</t>
  </si>
  <si>
    <t>Mode</t>
  </si>
  <si>
    <t>Standard Deviation</t>
  </si>
  <si>
    <t>Column1</t>
  </si>
  <si>
    <t>Range</t>
  </si>
  <si>
    <t>corelation</t>
  </si>
  <si>
    <t>varience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</si>
  <si>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</si>
  <si>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</si>
  <si>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</si>
  <si>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</si>
  <si>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</si>
  <si>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</si>
  <si>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</si>
  <si>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</si>
  <si>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</si>
  <si>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</si>
  <si>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</si>
  <si>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</si>
  <si>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</si>
  <si>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</si>
  <si>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</si>
  <si>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</si>
  <si>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</si>
  <si>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</si>
  <si>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</si>
  <si>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</si>
  <si>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</si>
  <si>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</si>
  <si>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</si>
  <si>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</si>
  <si>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</si>
  <si>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</si>
  <si>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</si>
  <si>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</si>
  <si>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</si>
  <si>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Sample Variance</t>
  </si>
  <si>
    <t>Kurtosis</t>
  </si>
  <si>
    <t>Skewness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</si>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</sst>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 PLOT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145116046754665"/>
          <c:y val="5.3409624786872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003862031238161E-2"/>
          <c:y val="0.23271023054030121"/>
          <c:w val="0.91747695491175152"/>
          <c:h val="0.68618691326012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4-45A1-B5D7-E9D519CB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98016"/>
        <c:axId val="1237604736"/>
      </c:scatterChart>
      <c:valAx>
        <c:axId val="123759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04736"/>
        <c:crosses val="autoZero"/>
        <c:crossBetween val="midCat"/>
      </c:valAx>
      <c:valAx>
        <c:axId val="12376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9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"/>
          <c:y val="0.24782407407407409"/>
          <c:w val="0.84444444444444444"/>
          <c:h val="0.5953466754155730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5B0C-4682-B8D7-2B34128F65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Sheet1!$B$2:$B$10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682-B8D7-2B34128F65E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Sheet1!$C$2:$C$10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682-B8D7-2B34128F65E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Sheet1!$B$2:$B$8</c:f>
              <c:numCache>
                <c:formatCode>General</c:formatCode>
                <c:ptCount val="7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C-4A6C-B36C-6E05BB2523C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Sheet1!$B$2:$B$8</c:f>
              <c:numCache>
                <c:formatCode>General</c:formatCode>
                <c:ptCount val="7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</c:numCache>
            </c:numRef>
          </c:xVal>
          <c:yVal>
            <c:numRef>
              <c:f>Sheet2!$B$25:$B$31</c:f>
              <c:numCache>
                <c:formatCode>General</c:formatCode>
                <c:ptCount val="7"/>
                <c:pt idx="0">
                  <c:v>7.0972222222222214</c:v>
                </c:pt>
                <c:pt idx="1">
                  <c:v>6.7499999999999991</c:v>
                </c:pt>
                <c:pt idx="2">
                  <c:v>6.8194444444444438</c:v>
                </c:pt>
                <c:pt idx="3">
                  <c:v>7.0972222222222214</c:v>
                </c:pt>
                <c:pt idx="4">
                  <c:v>6.8888888888888884</c:v>
                </c:pt>
                <c:pt idx="5">
                  <c:v>6.8194444444444438</c:v>
                </c:pt>
                <c:pt idx="6">
                  <c:v>7.0277777777777768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8C-4A6C-B36C-6E05BB25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603792"/>
        <c:axId val="1278599952"/>
      </c:scatterChart>
      <c:valAx>
        <c:axId val="127860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8599952"/>
        <c:crosses val="autoZero"/>
        <c:crossBetween val="midCat"/>
      </c:valAx>
      <c:valAx>
        <c:axId val="1278599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860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38100</xdr:rowOff>
    </xdr:from>
    <xdr:to>
      <xdr:col>6</xdr:col>
      <xdr:colOff>495299</xdr:colOff>
      <xdr:row>29</xdr:row>
      <xdr:rowOff>119063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D93E2F-6C84-6EAF-33BA-7B5C67586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12</xdr:row>
      <xdr:rowOff>19051</xdr:rowOff>
    </xdr:from>
    <xdr:to>
      <xdr:col>14</xdr:col>
      <xdr:colOff>561975</xdr:colOff>
      <xdr:row>29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D553B6-16B5-FE0A-F67F-8A23C0E28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22DFA-1D7D-7BD6-E552-4178BE2A5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9B4F5-1534-4BD5-B1F8-FEEEE8B048F4}" name="Table1" displayName="Table1" ref="A1:J10" totalsRowShown="0" headerRowDxfId="7">
  <autoFilter ref="A1:J10" xr:uid="{C6D9B4F5-1534-4BD5-B1F8-FEEEE8B048F4}"/>
  <tableColumns count="10">
    <tableColumn id="1" xr3:uid="{778B749A-4760-44F6-99C8-21B8A0F7B098}" name="Student"/>
    <tableColumn id="2" xr3:uid="{B16FA44D-63B3-4849-865F-4AC9AD583F8F}" name="Marks"/>
    <tableColumn id="3" xr3:uid="{2BB691E4-CFFB-45D7-9D32-91F81DCBF2B4}" name="study hours"/>
    <tableColumn id="4" xr3:uid="{4C81CD31-2554-4EDB-894B-EF2E023F47BE}" name="Mean" dataDxfId="6">
      <calculatedColumnFormula>AVERAGE(Table1[Marks])</calculatedColumnFormula>
    </tableColumn>
    <tableColumn id="5" xr3:uid="{7BD5E4F5-EA30-42CA-A625-9218E14B9AA5}" name="Standard Deviation" dataDxfId="5">
      <calculatedColumnFormula>_xlfn.STDEV.S(Table1[Marks])</calculatedColumnFormula>
    </tableColumn>
    <tableColumn id="7" xr3:uid="{3865BCD3-DA2A-4751-B2FC-2DDE4776A2BB}" name="Mode" dataDxfId="4">
      <calculatedColumnFormula>MODE(Table1[Marks])</calculatedColumnFormula>
    </tableColumn>
    <tableColumn id="8" xr3:uid="{4D4C29DD-7619-44AD-BAAF-8C53EB4C9949}" name="Median" dataDxfId="3">
      <calculatedColumnFormula>MEDIAN(Table1[Marks])</calculatedColumnFormula>
    </tableColumn>
    <tableColumn id="9" xr3:uid="{78ECB871-D26B-487B-BCA1-79E064EFEDFA}" name="Range" dataDxfId="1">
      <calculatedColumnFormula>MAX(Table1[[#This Row],[Marks]])</calculatedColumnFormula>
    </tableColumn>
    <tableColumn id="10" xr3:uid="{C0404144-0382-4615-A2E1-FA7159A3478D}" name="corelation" dataDxfId="2">
      <calculatedColumnFormula>CORREL(B2:B9,C2:C9)</calculatedColumnFormula>
    </tableColumn>
    <tableColumn id="11" xr3:uid="{FC98B92D-7221-4CDC-A9CE-63DCBEDF52B3}" name="vari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D73-66D3-43FE-AF2D-E1E8706E02BD}">
  <dimension ref="A1:J10"/>
  <sheetViews>
    <sheetView workbookViewId="0">
      <selection activeCell="V24" sqref="V24"/>
    </sheetView>
  </sheetViews>
  <sheetFormatPr defaultRowHeight="15" x14ac:dyDescent="0.25"/>
  <cols>
    <col min="1" max="1" width="9.85546875" customWidth="1"/>
    <col min="3" max="3" width="13.42578125" customWidth="1"/>
    <col min="5" max="5" width="20" customWidth="1"/>
    <col min="6" max="6" width="11.7109375" customWidth="1"/>
  </cols>
  <sheetData>
    <row r="1" spans="1:10" x14ac:dyDescent="0.25">
      <c r="A1" s="1" t="s">
        <v>2</v>
      </c>
      <c r="B1" s="1" t="s">
        <v>0</v>
      </c>
      <c r="C1" s="1" t="s">
        <v>1</v>
      </c>
      <c r="D1" s="1" t="s">
        <v>11</v>
      </c>
      <c r="E1" s="1" t="s">
        <v>14</v>
      </c>
      <c r="F1" s="1" t="s">
        <v>13</v>
      </c>
      <c r="G1" s="1" t="s">
        <v>12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3</v>
      </c>
      <c r="B2">
        <v>80</v>
      </c>
      <c r="C2">
        <v>6</v>
      </c>
      <c r="D2">
        <f>AVERAGE(Table1[Marks])</f>
        <v>81.875</v>
      </c>
      <c r="E2">
        <f>_xlfn.STDEV.S(Table1[Marks])</f>
        <v>2.4748737341529163</v>
      </c>
      <c r="F2">
        <f>MODE(Table1[Marks])</f>
        <v>80</v>
      </c>
      <c r="G2" s="2">
        <f>MEDIAN(Table1[Marks])</f>
        <v>82</v>
      </c>
      <c r="H2" s="2">
        <f>MAX(B2:B9)-MIN(B2:B9)</f>
        <v>7</v>
      </c>
      <c r="I2" s="2">
        <f>CORREL(B2:B9,C2:C9)</f>
        <v>0.31783036147140259</v>
      </c>
      <c r="J2" s="2">
        <f>_xlfn.VAR.S(B2:B9)</f>
        <v>6.125</v>
      </c>
    </row>
    <row r="3" spans="1:10" x14ac:dyDescent="0.25">
      <c r="A3" t="s">
        <v>4</v>
      </c>
      <c r="B3">
        <v>85</v>
      </c>
      <c r="C3">
        <v>6</v>
      </c>
      <c r="D3">
        <f>AVERAGE(Table1[Marks])</f>
        <v>81.875</v>
      </c>
      <c r="E3">
        <f>_xlfn.STDEV.S(Table1[Marks])</f>
        <v>2.4748737341529163</v>
      </c>
      <c r="F3">
        <f>MODE(Table1[Marks])</f>
        <v>80</v>
      </c>
      <c r="G3" s="2">
        <f>MEDIAN(Table1[Marks])</f>
        <v>82</v>
      </c>
      <c r="H3" s="2">
        <f>MAX(B2:B9)-MIN(B2:B9)</f>
        <v>7</v>
      </c>
      <c r="I3" s="2">
        <f>CORREL(B2:B9,C2:C9)</f>
        <v>0.31783036147140259</v>
      </c>
      <c r="J3" s="2">
        <f>_xlfn.VAR.S(B2:B9)</f>
        <v>6.125</v>
      </c>
    </row>
    <row r="4" spans="1:10" x14ac:dyDescent="0.25">
      <c r="A4" t="s">
        <v>5</v>
      </c>
      <c r="B4">
        <v>84</v>
      </c>
      <c r="C4">
        <v>6.5</v>
      </c>
      <c r="D4">
        <f>AVERAGE(Table1[Marks])</f>
        <v>81.875</v>
      </c>
      <c r="E4">
        <f>_xlfn.STDEV.S(Table1[Marks])</f>
        <v>2.4748737341529163</v>
      </c>
      <c r="F4">
        <f>MODE(Table1[Marks])</f>
        <v>80</v>
      </c>
      <c r="G4" s="2">
        <f>MEDIAN(Table1[Marks])</f>
        <v>82</v>
      </c>
      <c r="H4" s="2">
        <f>MAX(B2:B9)-MIN(B2:B9)</f>
        <v>7</v>
      </c>
      <c r="I4" s="2">
        <f>CORREL(B2:B9,C2:C9)</f>
        <v>0.31783036147140259</v>
      </c>
      <c r="J4" s="2">
        <f>_xlfn.VAR.S(B2:B9)</f>
        <v>6.125</v>
      </c>
    </row>
    <row r="5" spans="1:10" x14ac:dyDescent="0.25">
      <c r="A5" t="s">
        <v>6</v>
      </c>
      <c r="B5">
        <v>80</v>
      </c>
      <c r="C5">
        <v>7</v>
      </c>
      <c r="D5">
        <f>AVERAGE(Table1[Marks])</f>
        <v>81.875</v>
      </c>
      <c r="E5">
        <f>_xlfn.STDEV.S(Table1[Marks])</f>
        <v>2.4748737341529163</v>
      </c>
      <c r="F5">
        <f>MODE(Table1[Marks])</f>
        <v>80</v>
      </c>
      <c r="G5" s="2">
        <f>MEDIAN(Table1[Marks])</f>
        <v>82</v>
      </c>
      <c r="H5" s="2">
        <f>MAX(B2:B9)-MIN(B2:B9)</f>
        <v>7</v>
      </c>
      <c r="I5" s="2">
        <f>CORREL(B2:B9,C2:C9)</f>
        <v>0.31783036147140259</v>
      </c>
      <c r="J5" s="2">
        <f>_xlfn.VAR.S(B2:B9)</f>
        <v>6.125</v>
      </c>
    </row>
    <row r="6" spans="1:10" x14ac:dyDescent="0.25">
      <c r="A6" t="s">
        <v>7</v>
      </c>
      <c r="B6">
        <v>83</v>
      </c>
      <c r="C6">
        <v>8</v>
      </c>
      <c r="D6">
        <f>AVERAGE(Table1[Marks])</f>
        <v>81.875</v>
      </c>
      <c r="E6">
        <f>_xlfn.STDEV.S(Table1[Marks])</f>
        <v>2.4748737341529163</v>
      </c>
      <c r="F6">
        <f>MODE(Table1[Marks])</f>
        <v>80</v>
      </c>
      <c r="G6" s="2">
        <f>MEDIAN(Table1[Marks])</f>
        <v>82</v>
      </c>
      <c r="H6" s="2">
        <f>MAX(B2:B9)-MIN(B2:B9)</f>
        <v>7</v>
      </c>
      <c r="I6" s="2">
        <f>CORREL(B2:B9,C2:C9)</f>
        <v>0.31783036147140259</v>
      </c>
      <c r="J6" s="2">
        <f>_xlfn.VAR.S(B2:B9)</f>
        <v>6.125</v>
      </c>
    </row>
    <row r="7" spans="1:10" x14ac:dyDescent="0.25">
      <c r="A7" t="s">
        <v>8</v>
      </c>
      <c r="B7">
        <v>84</v>
      </c>
      <c r="C7">
        <v>7</v>
      </c>
      <c r="D7">
        <f>AVERAGE(Table1[Marks])</f>
        <v>81.875</v>
      </c>
      <c r="E7">
        <f>_xlfn.STDEV.S(Table1[Marks])</f>
        <v>2.4748737341529163</v>
      </c>
      <c r="F7">
        <f>MODE(Table1[Marks])</f>
        <v>80</v>
      </c>
      <c r="G7" s="2">
        <f>MEDIAN(Table1[Marks])</f>
        <v>82</v>
      </c>
      <c r="H7" s="2">
        <f>MAX(B2:B9)-MIN(B2:B9)</f>
        <v>7</v>
      </c>
      <c r="I7" s="2">
        <f>CORREL(B2:B9,C2:C9)</f>
        <v>0.31783036147140259</v>
      </c>
      <c r="J7" s="2">
        <f>_xlfn.VAR.S(B2:B9)</f>
        <v>6.125</v>
      </c>
    </row>
    <row r="8" spans="1:10" x14ac:dyDescent="0.25">
      <c r="A8" t="s">
        <v>9</v>
      </c>
      <c r="B8">
        <v>81</v>
      </c>
      <c r="C8">
        <v>8</v>
      </c>
      <c r="D8">
        <f>AVERAGE(Table1[Marks])</f>
        <v>81.875</v>
      </c>
      <c r="E8">
        <f>_xlfn.STDEV.S(Table1[Marks])</f>
        <v>2.4748737341529163</v>
      </c>
      <c r="F8">
        <f>MODE(Table1[Marks])</f>
        <v>80</v>
      </c>
      <c r="G8" s="2">
        <f>MEDIAN(Table1[Marks])</f>
        <v>82</v>
      </c>
      <c r="H8" s="2">
        <f>MAX(B2:B9)-MIN(B2:B9)</f>
        <v>7</v>
      </c>
      <c r="I8" s="2">
        <f>CORREL(B2:B9,C2:C9)</f>
        <v>0.31783036147140259</v>
      </c>
      <c r="J8" s="2">
        <f>_xlfn.VAR.S(B2:B9)</f>
        <v>6.125</v>
      </c>
    </row>
    <row r="9" spans="1:10" x14ac:dyDescent="0.25">
      <c r="A9" t="s">
        <v>10</v>
      </c>
      <c r="B9">
        <v>78</v>
      </c>
      <c r="C9">
        <v>5</v>
      </c>
      <c r="D9">
        <f>AVERAGE(Table1[Marks])</f>
        <v>81.875</v>
      </c>
      <c r="E9">
        <f>_xlfn.STDEV.S(Table1[Marks])</f>
        <v>2.4748737341529163</v>
      </c>
      <c r="F9">
        <f>MODE(Table1[Marks])</f>
        <v>80</v>
      </c>
      <c r="G9" s="2">
        <f>MEDIAN(Table1[Marks])</f>
        <v>82</v>
      </c>
      <c r="H9" s="2">
        <f>MAX(B2:B9)-MIN(B2:B9)</f>
        <v>7</v>
      </c>
      <c r="I9" s="2">
        <f>CORREL(B2:B9,C2:C9)</f>
        <v>0.31783036147140259</v>
      </c>
      <c r="J9" s="2">
        <f>_xlfn.VAR.S(B2:B9)</f>
        <v>6.125</v>
      </c>
    </row>
    <row r="10" spans="1:10" hidden="1" x14ac:dyDescent="0.25">
      <c r="G10" s="2"/>
      <c r="H10" s="2">
        <f>MAX(Table1[[#This Row],[Marks]])</f>
        <v>0</v>
      </c>
      <c r="I10" s="2" t="e">
        <f t="shared" ref="I2:I10" si="0">CORREL(B10:B17,C10:C17)</f>
        <v>#DIV/0!</v>
      </c>
      <c r="J10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47AC-41ED-4A15-947B-A0003515F387}">
  <dimension ref="A1:I31"/>
  <sheetViews>
    <sheetView workbookViewId="0">
      <selection activeCell="M16" sqref="M16"/>
    </sheetView>
  </sheetViews>
  <sheetFormatPr defaultRowHeight="15" x14ac:dyDescent="0.25"/>
  <sheetData>
    <row r="1" spans="1:9" x14ac:dyDescent="0.25">
      <c r="A1" t="s">
        <v>19</v>
      </c>
    </row>
    <row r="2" spans="1:9" ht="15.75" thickBot="1" x14ac:dyDescent="0.3"/>
    <row r="3" spans="1:9" x14ac:dyDescent="0.25">
      <c r="A3" s="6" t="s">
        <v>20</v>
      </c>
      <c r="B3" s="6"/>
    </row>
    <row r="4" spans="1:9" x14ac:dyDescent="0.25">
      <c r="A4" s="3" t="s">
        <v>21</v>
      </c>
      <c r="B4" s="3">
        <v>0.17153895199846228</v>
      </c>
    </row>
    <row r="5" spans="1:9" x14ac:dyDescent="0.25">
      <c r="A5" s="3" t="s">
        <v>22</v>
      </c>
      <c r="B5" s="3">
        <v>2.9425612052730751E-2</v>
      </c>
    </row>
    <row r="6" spans="1:9" x14ac:dyDescent="0.25">
      <c r="A6" s="3" t="s">
        <v>23</v>
      </c>
      <c r="B6" s="3">
        <v>-0.16468926553672308</v>
      </c>
    </row>
    <row r="7" spans="1:9" x14ac:dyDescent="0.25">
      <c r="A7" s="3" t="s">
        <v>24</v>
      </c>
      <c r="B7" s="3">
        <v>0.90446423674767573</v>
      </c>
    </row>
    <row r="8" spans="1:9" ht="15.75" thickBot="1" x14ac:dyDescent="0.3">
      <c r="A8" s="4" t="s">
        <v>25</v>
      </c>
      <c r="B8" s="4">
        <v>7</v>
      </c>
    </row>
    <row r="10" spans="1:9" ht="15.75" thickBot="1" x14ac:dyDescent="0.3">
      <c r="A10" t="s">
        <v>26</v>
      </c>
    </row>
    <row r="11" spans="1:9" x14ac:dyDescent="0.25">
      <c r="A11" s="5"/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</row>
    <row r="12" spans="1:9" x14ac:dyDescent="0.25">
      <c r="A12" s="3" t="s">
        <v>27</v>
      </c>
      <c r="B12" s="3">
        <v>1</v>
      </c>
      <c r="C12" s="3">
        <v>0.12400793650793673</v>
      </c>
      <c r="D12" s="3">
        <v>0.12400793650793673</v>
      </c>
      <c r="E12" s="3">
        <v>0.15158864904196001</v>
      </c>
      <c r="F12" s="3">
        <v>0.71305202099973841</v>
      </c>
    </row>
    <row r="13" spans="1:9" x14ac:dyDescent="0.25">
      <c r="A13" s="3" t="s">
        <v>28</v>
      </c>
      <c r="B13" s="3">
        <v>5</v>
      </c>
      <c r="C13" s="3">
        <v>4.0902777777777777</v>
      </c>
      <c r="D13" s="3">
        <v>0.81805555555555554</v>
      </c>
      <c r="E13" s="3"/>
      <c r="F13" s="3"/>
    </row>
    <row r="14" spans="1:9" ht="15.75" thickBot="1" x14ac:dyDescent="0.3">
      <c r="A14" s="4" t="s">
        <v>29</v>
      </c>
      <c r="B14" s="4">
        <v>6</v>
      </c>
      <c r="C14" s="4">
        <v>4.2142857142857144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36</v>
      </c>
      <c r="C16" s="5" t="s">
        <v>24</v>
      </c>
      <c r="D16" s="5" t="s">
        <v>37</v>
      </c>
      <c r="E16" s="5" t="s">
        <v>38</v>
      </c>
      <c r="F16" s="5" t="s">
        <v>39</v>
      </c>
      <c r="G16" s="5" t="s">
        <v>40</v>
      </c>
      <c r="H16" s="5" t="s">
        <v>41</v>
      </c>
      <c r="I16" s="5" t="s">
        <v>42</v>
      </c>
    </row>
    <row r="17" spans="1:9" x14ac:dyDescent="0.25">
      <c r="A17" s="3" t="s">
        <v>30</v>
      </c>
      <c r="B17" s="3">
        <v>12.652777777777771</v>
      </c>
      <c r="C17" s="3">
        <v>14.70616078803223</v>
      </c>
      <c r="D17" s="3">
        <v>0.8603725989501293</v>
      </c>
      <c r="E17" s="3">
        <v>0.42890006680884651</v>
      </c>
      <c r="F17" s="3">
        <v>-25.150612015884917</v>
      </c>
      <c r="G17" s="3">
        <v>50.45616757144046</v>
      </c>
      <c r="H17" s="3">
        <v>-25.150612015884917</v>
      </c>
      <c r="I17" s="3">
        <v>50.45616757144046</v>
      </c>
    </row>
    <row r="18" spans="1:9" ht="15.75" thickBot="1" x14ac:dyDescent="0.3">
      <c r="A18" s="4" t="s">
        <v>43</v>
      </c>
      <c r="B18" s="4">
        <v>-6.9444444444444378E-2</v>
      </c>
      <c r="C18" s="4">
        <v>0.17836275285198494</v>
      </c>
      <c r="D18" s="4">
        <v>-0.38934386991701758</v>
      </c>
      <c r="E18" s="4">
        <v>0.71305202099973886</v>
      </c>
      <c r="F18" s="4">
        <v>-0.52794049707984625</v>
      </c>
      <c r="G18" s="4">
        <v>0.38905160819095747</v>
      </c>
      <c r="H18" s="4">
        <v>-0.52794049707984625</v>
      </c>
      <c r="I18" s="4">
        <v>0.38905160819095747</v>
      </c>
    </row>
    <row r="22" spans="1:9" x14ac:dyDescent="0.25">
      <c r="A22" t="s">
        <v>44</v>
      </c>
    </row>
    <row r="23" spans="1:9" ht="15.75" thickBot="1" x14ac:dyDescent="0.3"/>
    <row r="24" spans="1:9" x14ac:dyDescent="0.25">
      <c r="A24" s="5" t="s">
        <v>45</v>
      </c>
      <c r="B24" s="5" t="s">
        <v>46</v>
      </c>
      <c r="C24" s="5" t="s">
        <v>47</v>
      </c>
    </row>
    <row r="25" spans="1:9" x14ac:dyDescent="0.25">
      <c r="A25" s="3">
        <v>1</v>
      </c>
      <c r="B25" s="3">
        <v>7.0972222222222214</v>
      </c>
      <c r="C25" s="3">
        <v>-1.0972222222222214</v>
      </c>
    </row>
    <row r="26" spans="1:9" x14ac:dyDescent="0.25">
      <c r="A26" s="3">
        <v>2</v>
      </c>
      <c r="B26" s="3">
        <v>6.7499999999999991</v>
      </c>
      <c r="C26" s="3">
        <v>-0.74999999999999911</v>
      </c>
    </row>
    <row r="27" spans="1:9" x14ac:dyDescent="0.25">
      <c r="A27" s="3">
        <v>3</v>
      </c>
      <c r="B27" s="3">
        <v>6.8194444444444438</v>
      </c>
      <c r="C27" s="3">
        <v>-0.31944444444444375</v>
      </c>
    </row>
    <row r="28" spans="1:9" x14ac:dyDescent="0.25">
      <c r="A28" s="3">
        <v>4</v>
      </c>
      <c r="B28" s="3">
        <v>7.0972222222222214</v>
      </c>
      <c r="C28" s="3">
        <v>-9.7222222222221433E-2</v>
      </c>
    </row>
    <row r="29" spans="1:9" x14ac:dyDescent="0.25">
      <c r="A29" s="3">
        <v>5</v>
      </c>
      <c r="B29" s="3">
        <v>6.8888888888888884</v>
      </c>
      <c r="C29" s="3">
        <v>1.1111111111111116</v>
      </c>
    </row>
    <row r="30" spans="1:9" x14ac:dyDescent="0.25">
      <c r="A30" s="3">
        <v>6</v>
      </c>
      <c r="B30" s="3">
        <v>6.8194444444444438</v>
      </c>
      <c r="C30" s="3">
        <v>0.18055555555555625</v>
      </c>
    </row>
    <row r="31" spans="1:9" ht="15.75" thickBot="1" x14ac:dyDescent="0.3">
      <c r="A31" s="4">
        <v>7</v>
      </c>
      <c r="B31" s="4">
        <v>7.0277777777777768</v>
      </c>
      <c r="C31" s="4">
        <v>0.97222222222222321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E11-B958-43C9-B2A5-BC22FEDB9B2D}">
  <dimension ref="A1:B18"/>
  <sheetViews>
    <sheetView tabSelected="1" workbookViewId="0">
      <selection activeCell="G14" sqref="G14"/>
    </sheetView>
  </sheetViews>
  <sheetFormatPr defaultRowHeight="15" x14ac:dyDescent="0.25"/>
  <sheetData>
    <row r="1" spans="1:2" x14ac:dyDescent="0.25">
      <c r="A1" s="6" t="s">
        <v>15</v>
      </c>
      <c r="B1" s="6"/>
    </row>
    <row r="2" spans="1:2" x14ac:dyDescent="0.25">
      <c r="A2" s="3"/>
      <c r="B2" s="3"/>
    </row>
    <row r="3" spans="1:2" x14ac:dyDescent="0.25">
      <c r="A3" s="3" t="s">
        <v>11</v>
      </c>
      <c r="B3" s="3">
        <v>82.428571428571431</v>
      </c>
    </row>
    <row r="4" spans="1:2" x14ac:dyDescent="0.25">
      <c r="A4" s="3" t="s">
        <v>24</v>
      </c>
      <c r="B4" s="3">
        <v>0.78246079643595157</v>
      </c>
    </row>
    <row r="5" spans="1:2" x14ac:dyDescent="0.25">
      <c r="A5" s="3" t="s">
        <v>12</v>
      </c>
      <c r="B5" s="3">
        <v>83</v>
      </c>
    </row>
    <row r="6" spans="1:2" x14ac:dyDescent="0.25">
      <c r="A6" s="3" t="s">
        <v>13</v>
      </c>
      <c r="B6" s="3">
        <v>80</v>
      </c>
    </row>
    <row r="7" spans="1:2" x14ac:dyDescent="0.25">
      <c r="A7" s="3" t="s">
        <v>14</v>
      </c>
      <c r="B7" s="3">
        <v>2.0701966780270626</v>
      </c>
    </row>
    <row r="8" spans="1:2" x14ac:dyDescent="0.25">
      <c r="A8" s="3" t="s">
        <v>48</v>
      </c>
      <c r="B8" s="3">
        <v>4.2857142857142856</v>
      </c>
    </row>
    <row r="9" spans="1:2" x14ac:dyDescent="0.25">
      <c r="A9" s="3" t="s">
        <v>49</v>
      </c>
      <c r="B9" s="3">
        <v>-2.1031111111111098</v>
      </c>
    </row>
    <row r="10" spans="1:2" x14ac:dyDescent="0.25">
      <c r="A10" s="3" t="s">
        <v>50</v>
      </c>
      <c r="B10" s="3">
        <v>-0.17389652095427743</v>
      </c>
    </row>
    <row r="11" spans="1:2" x14ac:dyDescent="0.25">
      <c r="A11" s="3" t="s">
        <v>16</v>
      </c>
      <c r="B11" s="3">
        <v>5</v>
      </c>
    </row>
    <row r="12" spans="1:2" x14ac:dyDescent="0.25">
      <c r="A12" s="3" t="s">
        <v>51</v>
      </c>
      <c r="B12" s="3">
        <v>80</v>
      </c>
    </row>
    <row r="13" spans="1:2" x14ac:dyDescent="0.25">
      <c r="A13" s="3" t="s">
        <v>52</v>
      </c>
      <c r="B13" s="3">
        <v>85</v>
      </c>
    </row>
    <row r="14" spans="1:2" x14ac:dyDescent="0.25">
      <c r="A14" s="3" t="s">
        <v>53</v>
      </c>
      <c r="B14" s="3">
        <v>577</v>
      </c>
    </row>
    <row r="15" spans="1:2" x14ac:dyDescent="0.25">
      <c r="A15" s="3" t="s">
        <v>54</v>
      </c>
      <c r="B15" s="3">
        <v>7</v>
      </c>
    </row>
    <row r="16" spans="1:2" x14ac:dyDescent="0.25">
      <c r="A16" s="3" t="s">
        <v>55</v>
      </c>
      <c r="B16" s="3">
        <v>85</v>
      </c>
    </row>
    <row r="17" spans="1:2" x14ac:dyDescent="0.25">
      <c r="A17" s="3" t="s">
        <v>56</v>
      </c>
      <c r="B17" s="3">
        <v>80</v>
      </c>
    </row>
    <row r="18" spans="1:2" ht="15.75" thickBot="1" x14ac:dyDescent="0.3">
      <c r="A18" s="4" t="s">
        <v>57</v>
      </c>
      <c r="B18" s="4">
        <v>1.914612595855461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2026-05-26T08:27:16Z</dcterms:created>
  <dcterms:modified xsi:type="dcterms:W3CDTF">2026-05-26T10:26:29Z</dcterms:modified>
</cp:coreProperties>
</file>